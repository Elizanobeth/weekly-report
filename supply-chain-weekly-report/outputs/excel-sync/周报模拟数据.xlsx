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9b59da25414e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PI表" sheetId="1" r:id="R9ba5b13e236b48a0"/>
    <x:sheet xmlns:r="http://schemas.openxmlformats.org/officeDocument/2006/relationships" name="事项台账" sheetId="2" r:id="R72742063e3d64a52"/>
    <x:sheet xmlns:r="http://schemas.openxmlformats.org/officeDocument/2006/relationships" name="周报记录表" sheetId="3" r:id="Rcdf412de1f6340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%"/>
    <x:numFmt numFmtId="202" formatCode="yyyy-mm-dd hh:mm"/>
  </x:numFmts>
  <x:fonts count="3">
    <x:font>
      <x:sz val="11"/>
      <x:name val="Carlito"/>
    </x:font>
    <x:font>
      <x:sz val="10"/>
      <x:color rgb="FF17212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2324A"/>
      </x:patternFill>
    </x:fill>
  </x:fills>
  <x:borders count="3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bottom style="thin">
        <x:color rgb="FFE3E8EC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2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2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2" fontId="1" fillId="0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ont>
        <x:b/>
        <x:color rgb="FF9A620E"/>
      </x:font>
      <x:fill>
        <x:patternFill>
          <x:bgColor rgb="FFFFF4DD"/>
        </x:patternFill>
      </x:fill>
    </x:dxf>
    <x:dxf>
      <x:font>
        <x:b/>
        <x:color rgb="FFA93030"/>
      </x:font>
      <x:fill>
        <x:patternFill>
          <x:bgColor rgb="FFFDEBEA"/>
        </x:patternFill>
      </x:fill>
    </x:dxf>
    <x:dxf>
      <x:font>
        <x:b/>
        <x:color rgb="FF237A4B"/>
      </x:font>
      <x:fill>
        <x:patternFill>
          <x:bgColor rgb="FFE8F5ED"/>
        </x:patternFill>
      </x:fill>
    </x:dxf>
    <x:dxf>
      <x:font>
        <x:b/>
        <x:color rgb="FF9A620E"/>
      </x:font>
      <x:fill>
        <x:patternFill>
          <x:bgColor rgb="FFFFF4DD"/>
        </x:patternFill>
      </x:fill>
    </x:dxf>
    <x:dxf>
      <x:font>
        <x:b/>
        <x:color rgb="FFA93030"/>
      </x:font>
      <x:fill>
        <x:patternFill>
          <x:bgColor rgb="FFFDEBEA"/>
        </x:patternFill>
      </x:fill>
    </x:dxf>
    <x:dxf>
      <x:font>
        <x:b/>
        <x:color rgb="FF237A4B"/>
      </x:font>
      <x:fill>
        <x:patternFill>
          <x:bgColor rgb="FFE8F5ED"/>
        </x:patternFill>
      </x:fill>
    </x:dxf>
    <x:dxf>
      <x:font>
        <x:b/>
        <x:color rgb="FF9A620E"/>
      </x:font>
      <x:fill>
        <x:patternFill>
          <x:bgColor rgb="FFFFF4DD"/>
        </x:patternFill>
      </x:fill>
    </x:dxf>
    <x:dxf>
      <x:font>
        <x:b/>
        <x:color rgb="FFA93030"/>
      </x:font>
      <x:fill>
        <x:patternFill>
          <x:bgColor rgb="FFFDEBEA"/>
        </x:patternFill>
      </x:fill>
    </x:dxf>
    <x:dxf>
      <x:font>
        <x:b/>
        <x:color rgb="FF237A4B"/>
      </x:font>
      <x:fill>
        <x:patternFill>
          <x:bgColor rgb="FFE8F5E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b5c9d60f534027" /><Relationship Type="http://schemas.openxmlformats.org/officeDocument/2006/relationships/theme" Target="/xl/theme/theme1.xml" Id="Raa6430e7519a4b96" /><Relationship Type="http://schemas.openxmlformats.org/officeDocument/2006/relationships/sharedStrings" Target="/xl/sharedStrings.xml" Id="R07a221b1f9b645f6" /><Relationship Type="http://schemas.openxmlformats.org/officeDocument/2006/relationships/worksheet" Target="/xl/worksheets/sheet1.xml" Id="R9ba5b13e236b48a0" /><Relationship Type="http://schemas.openxmlformats.org/officeDocument/2006/relationships/worksheet" Target="/xl/worksheets/sheet2.xml" Id="R72742063e3d64a52" /><Relationship Type="http://schemas.openxmlformats.org/officeDocument/2006/relationships/worksheet" Target="/xl/worksheets/sheet3.xml" Id="Rcdf412de1f63408c" /></Relationships>
</file>

<file path=xl/tables/table1.xml><?xml version="1.0" encoding="utf-8"?>
<x:table xmlns:x="http://schemas.openxmlformats.org/spreadsheetml/2006/main" id="1" name="KpiTable" displayName="KpiTable" ref="A1:V5" headerRowCount="1" totalsRowCount="0" totalsRowShown="0">
  <x:tableColumns count="22">
    <x:tableColumn id="1" name="项目集"/>
    <x:tableColumn id="2" name="项目名称"/>
    <x:tableColumn id="3" name="关键任务"/>
    <x:tableColumn id="4" name="主要内容"/>
    <x:tableColumn id="5" name="优先级"/>
    <x:tableColumn id="6" name="优化流程数量"/>
    <x:tableColumn id="7" name="优化系统功能点"/>
    <x:tableColumn id="8" name="项目收益（预估收益 验收实际收益）"/>
    <x:tableColumn id="9" name="单项责任人"/>
    <x:tableColumn id="10" name="当前状态"/>
    <x:tableColumn id="11" name="完成比例"/>
    <x:tableColumn id="12" name="计划比例"/>
    <x:tableColumn id="13" name="灯光"/>
    <x:tableColumn id="14" name="进度说明"/>
    <x:tableColumn id="15" name="实际上线时间"/>
    <x:tableColumn id="16" name="对应痛点码"/>
    <x:tableColumn id="17" name="计划开始时间"/>
    <x:tableColumn id="18" name="计划完成时间"/>
    <x:tableColumn id="19" name="IT产品Owener"/>
    <x:tableColumn id="20" name="IT开发"/>
    <x:tableColumn id="21" name="涉及系统"/>
    <x:tableColumn id="22" name="阶段（plan actual）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orkItemTable" displayName="WorkItemTable" ref="A1:U8" headerRowCount="1" totalsRowCount="0" totalsRowShown="0">
  <x:tableColumns count="21">
    <x:tableColumn id="1" name="事项ID"/>
    <x:tableColumn id="2" name="事项类型"/>
    <x:tableColumn id="3" name="KPI记录ID"/>
    <x:tableColumn id="4" name="项目集"/>
    <x:tableColumn id="5" name="项目名称"/>
    <x:tableColumn id="6" name="任务名称"/>
    <x:tableColumn id="7" name="任务内容"/>
    <x:tableColumn id="8" name="业务价值点"/>
    <x:tableColumn id="9" name="任务级别"/>
    <x:tableColumn id="10" name="优先级"/>
    <x:tableColumn id="11" name="计划开始时间"/>
    <x:tableColumn id="12" name="计划完成时间"/>
    <x:tableColumn id="13" name="责任人"/>
    <x:tableColumn id="14" name="业务接口人"/>
    <x:tableColumn id="15" name="IT接口人"/>
    <x:tableColumn id="16" name="当前状态"/>
    <x:tableColumn id="17" name="当前完成比例"/>
    <x:tableColumn id="18" name="最新进度说明"/>
    <x:tableColumn id="19" name="数据来源"/>
    <x:tableColumn id="20" name="是否有效"/>
    <x:tableColumn id="21" name="最后同步时间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WeeklyRecordTable" displayName="WeeklyRecordTable" ref="A1:Y12" headerRowCount="1" totalsRowCount="0" totalsRowShown="0">
  <x:tableColumns count="25">
    <x:tableColumn id="1" name="周报记录ID"/>
    <x:tableColumn id="2" name="记录类型"/>
    <x:tableColumn id="3" name="周报周期"/>
    <x:tableColumn id="4" name="关联事项"/>
    <x:tableColumn id="5" name="更新类型"/>
    <x:tableColumn id="6" name="本周主要进展"/>
    <x:tableColumn id="7" name="当前完成比例"/>
    <x:tableColumn id="8" name="当周计划比例"/>
    <x:tableColumn id="9" name="进度偏差"/>
    <x:tableColumn id="10" name="本周状态"/>
    <x:tableColumn id="11" name="存在问题"/>
    <x:tableColumn id="12" name="需要帮助"/>
    <x:tableColumn id="13" name="下周计划"/>
    <x:tableColumn id="14" name="下周目标完成比例"/>
    <x:tableColumn id="15" name="责任人"/>
    <x:tableColumn id="16" name="填报人"/>
    <x:tableColumn id="17" name="更新时间"/>
    <x:tableColumn id="18" name="锁定状态"/>
    <x:tableColumn id="19" name="KPI同步状态"/>
    <x:tableColumn id="20" name="KPI同步时间"/>
    <x:tableColumn id="21" name="KPI同步错误"/>
    <x:tableColumn id="22" name="AI摘要状态"/>
    <x:tableColumn id="23" name="AI生成时间"/>
    <x:tableColumn id="24" name="AI模型"/>
    <x:tableColumn id="25" name="AI来源记录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664664c019a4bc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e81e74127c649b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908c609ffee4561" /></Relationships>
</file>

<file path=xl/worksheets/sheet1.xml><?xml version="1.0" encoding="utf-8"?>
<x:worksheet xmlns:x="http://schemas.openxmlformats.org/spreadsheetml/2006/main">
  <x:sheetPr>
    <x:tabColor rgb="FF12324A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24" hidden="0" customWidth="1"/>
    <x:col min="3" max="3" width="28" hidden="0" customWidth="1"/>
    <x:col min="4" max="4" width="36" hidden="0" customWidth="1"/>
    <x:col min="5" max="5" width="9" hidden="0" customWidth="1"/>
    <x:col min="6" max="6" width="12" hidden="0" customWidth="1"/>
    <x:col min="7" max="7" width="14" hidden="0" customWidth="1"/>
    <x:col min="8" max="8" width="38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8" hidden="0" customWidth="1"/>
    <x:col min="14" max="14" width="36" hidden="0" customWidth="1"/>
    <x:col min="15" max="15" width="14" hidden="0" customWidth="1"/>
    <x:col min="16" max="16" width="13" hidden="0" customWidth="1"/>
    <x:col min="17" max="17" width="14" hidden="0" customWidth="1"/>
    <x:col min="18" max="18" width="14" hidden="0" customWidth="1"/>
    <x:col min="19" max="19" width="16" hidden="0" customWidth="1"/>
    <x:col min="20" max="20" width="14" hidden="0" customWidth="1"/>
    <x:col min="21" max="21" width="20" hidden="0" customWidth="1"/>
    <x:col min="22" max="22" width="16" hidden="0" customWidth="1"/>
  </x:cols>
  <x:sheetData>
    <x:row r="1" ht="32" customHeight="1">
      <x:c r="A1" s="7" t="str">
        <x:v>项目集</x:v>
      </x:c>
      <x:c r="B1" s="7" t="str">
        <x:v>项目名称</x:v>
      </x:c>
      <x:c r="C1" s="7" t="str">
        <x:v>关键任务</x:v>
      </x:c>
      <x:c r="D1" s="7" t="str">
        <x:v>主要内容</x:v>
      </x:c>
      <x:c r="E1" s="7" t="str">
        <x:v>优先级</x:v>
      </x:c>
      <x:c r="F1" s="7" t="str">
        <x:v>优化流程数量</x:v>
      </x:c>
      <x:c r="G1" s="7" t="str">
        <x:v>优化系统功能点</x:v>
      </x:c>
      <x:c r="H1" s="7" t="str">
        <x:v>项目收益（预估收益 验收实际收益）</x:v>
      </x:c>
      <x:c r="I1" s="7" t="str">
        <x:v>单项责任人</x:v>
      </x:c>
      <x:c r="J1" s="7" t="str">
        <x:v>当前状态</x:v>
      </x:c>
      <x:c r="K1" s="7" t="str">
        <x:v>完成比例</x:v>
      </x:c>
      <x:c r="L1" s="7" t="str">
        <x:v>计划比例</x:v>
      </x:c>
      <x:c r="M1" s="7" t="str">
        <x:v>灯光</x:v>
      </x:c>
      <x:c r="N1" s="7" t="str">
        <x:v>进度说明</x:v>
      </x:c>
      <x:c r="O1" s="7" t="str">
        <x:v>实际上线时间</x:v>
      </x:c>
      <x:c r="P1" s="7" t="str">
        <x:v>对应痛点码</x:v>
      </x:c>
      <x:c r="Q1" s="7" t="str">
        <x:v>计划开始时间</x:v>
      </x:c>
      <x:c r="R1" s="7" t="str">
        <x:v>计划完成时间</x:v>
      </x:c>
      <x:c r="S1" s="7" t="str">
        <x:v>IT产品Owener</x:v>
      </x:c>
      <x:c r="T1" s="7" t="str">
        <x:v>IT开发</x:v>
      </x:c>
      <x:c r="U1" s="7" t="str">
        <x:v>涉及系统</x:v>
      </x:c>
      <x:c r="V1" s="7" t="str">
        <x:v>阶段（plan actual）</x:v>
      </x:c>
    </x:row>
    <x:row r="2" ht="42" customHeight="1">
      <x:c r="A2" s="8" t="str">
        <x:v>供应商协同</x:v>
      </x:c>
      <x:c r="B2" s="8" t="str">
        <x:v>供应商主数据治理</x:v>
      </x:c>
      <x:c r="C2" s="8" t="str">
        <x:v>主数据校验规则上线</x:v>
      </x:c>
      <x:c r="D2" s="8" t="str">
        <x:v>统一供应商主数据校验规则并完成存量数据治理</x:v>
      </x:c>
      <x:c r="E2" s="8" t="str">
        <x:v>P0</x:v>
      </x:c>
      <x:c r="F2" s="8" t="n">
        <x:v>2</x:v>
      </x:c>
      <x:c r="G2" s="8" t="n">
        <x:v>6</x:v>
      </x:c>
      <x:c r="H2" s="8" t="str">
        <x:v>预估：减少重复供应商与人工校验工作</x:v>
      </x:c>
      <x:c r="I2" s="8" t="str">
        <x:v>陈悦</x:v>
      </x:c>
      <x:c r="J2" s="8" t="str">
        <x:v>进行中</x:v>
      </x:c>
      <x:c r="K2" s="12" t="n">
        <x:v>0.72</x:v>
      </x:c>
      <x:c r="L2" s="12" t="n">
        <x:v>0.75</x:v>
      </x:c>
      <x:c r="M2" s="8" t="str">
        <x:v>黄</x:v>
      </x:c>
      <x:c r="N2" s="8" t="str">
        <x:v>校验规则已进入灰度验证</x:v>
      </x:c>
      <x:c r="O2" s="10"/>
      <x:c r="P2" s="8" t="str">
        <x:v>SC-017</x:v>
      </x:c>
      <x:c r="Q2" s="10" t="n">
        <x:v>46209</x:v>
      </x:c>
      <x:c r="R2" s="10" t="n">
        <x:v>46290</x:v>
      </x:c>
      <x:c r="S2" s="8" t="str">
        <x:v>产品A</x:v>
      </x:c>
      <x:c r="T2" s="8" t="str">
        <x:v>开发组一</x:v>
      </x:c>
      <x:c r="U2" s="8" t="str">
        <x:v>SRM、MDM</x:v>
      </x:c>
      <x:c r="V2" s="8" t="str">
        <x:v>actual</x:v>
      </x:c>
    </x:row>
    <x:row r="3" ht="42" customHeight="1">
      <x:c r="A3" s="8" t="str">
        <x:v>供应商协同</x:v>
      </x:c>
      <x:c r="B3" s="8" t="str">
        <x:v>供应商主数据治理</x:v>
      </x:c>
      <x:c r="C3" s="8" t="str">
        <x:v>主数据接口性能优化</x:v>
      </x:c>
      <x:c r="D3" s="8" t="str">
        <x:v>优化供应商主数据同步链路的吞吐与异常重试</x:v>
      </x:c>
      <x:c r="E3" s="8" t="str">
        <x:v>P1</x:v>
      </x:c>
      <x:c r="F3" s="8" t="n">
        <x:v>1</x:v>
      </x:c>
      <x:c r="G3" s="8" t="n">
        <x:v>4</x:v>
      </x:c>
      <x:c r="H3" s="8" t="str">
        <x:v>预估：缩短主数据同步等待时间</x:v>
      </x:c>
      <x:c r="I3" s="8" t="str">
        <x:v>周凯</x:v>
      </x:c>
      <x:c r="J3" s="8" t="str">
        <x:v>进行中</x:v>
      </x:c>
      <x:c r="K3" s="12" t="n">
        <x:v>0.64</x:v>
      </x:c>
      <x:c r="L3" s="12" t="n">
        <x:v>0.65</x:v>
      </x:c>
      <x:c r="M3" s="8" t="str">
        <x:v>绿</x:v>
      </x:c>
      <x:c r="N3" s="8" t="str">
        <x:v>压测通过目标吞吐量</x:v>
      </x:c>
      <x:c r="O3" s="10"/>
      <x:c r="P3" s="8" t="str">
        <x:v>SC-021</x:v>
      </x:c>
      <x:c r="Q3" s="10" t="n">
        <x:v>46223</x:v>
      </x:c>
      <x:c r="R3" s="10" t="n">
        <x:v>46304</x:v>
      </x:c>
      <x:c r="S3" s="8" t="str">
        <x:v>产品A</x:v>
      </x:c>
      <x:c r="T3" s="8" t="str">
        <x:v>开发组二</x:v>
      </x:c>
      <x:c r="U3" s="8" t="str">
        <x:v>SRM、ESB</x:v>
      </x:c>
      <x:c r="V3" s="8" t="str">
        <x:v>actual</x:v>
      </x:c>
    </x:row>
    <x:row r="4" ht="42" customHeight="1">
      <x:c r="A4" s="8" t="str">
        <x:v>采购计划</x:v>
      </x:c>
      <x:c r="B4" s="8" t="str">
        <x:v>采购计划智能化</x:v>
      </x:c>
      <x:c r="C4" s="8" t="str">
        <x:v>安全库存算法验证</x:v>
      </x:c>
      <x:c r="D4" s="8" t="str">
        <x:v>在两类物料上验证安全库存算法并形成上线建议</x:v>
      </x:c>
      <x:c r="E4" s="8" t="str">
        <x:v>P0</x:v>
      </x:c>
      <x:c r="F4" s="8" t="n">
        <x:v>3</x:v>
      </x:c>
      <x:c r="G4" s="8" t="n">
        <x:v>5</x:v>
      </x:c>
      <x:c r="H4" s="8" t="str">
        <x:v>预估：降低缺货与积压波动；实际：试点缺货率下降8%</x:v>
      </x:c>
      <x:c r="I4" s="8" t="str">
        <x:v>李然</x:v>
      </x:c>
      <x:c r="J4" s="8" t="str">
        <x:v>已完成</x:v>
      </x:c>
      <x:c r="K4" s="12" t="n">
        <x:v>1</x:v>
      </x:c>
      <x:c r="L4" s="12" t="n">
        <x:v>1</x:v>
      </x:c>
      <x:c r="M4" s="8" t="str">
        <x:v>绿</x:v>
      </x:c>
      <x:c r="N4" s="8" t="str">
        <x:v>试点验收完成并通过上线评审</x:v>
      </x:c>
      <x:c r="O4" s="10" t="n">
        <x:v>46275</x:v>
      </x:c>
      <x:c r="P4" s="8" t="str">
        <x:v>SC-009</x:v>
      </x:c>
      <x:c r="Q4" s="10" t="n">
        <x:v>46188</x:v>
      </x:c>
      <x:c r="R4" s="10" t="n">
        <x:v>46276</x:v>
      </x:c>
      <x:c r="S4" s="8" t="str">
        <x:v>产品B</x:v>
      </x:c>
      <x:c r="T4" s="8" t="str">
        <x:v>算法组</x:v>
      </x:c>
      <x:c r="U4" s="8" t="str">
        <x:v>APS、数据平台</x:v>
      </x:c>
      <x:c r="V4" s="8" t="str">
        <x:v>actual</x:v>
      </x:c>
    </x:row>
    <x:row r="5" ht="42" customHeight="1">
      <x:c r="A5" s="9" t="str">
        <x:v>物流可视化</x:v>
      </x:c>
      <x:c r="B5" s="9" t="str">
        <x:v>运输节点可视化</x:v>
      </x:c>
      <x:c r="C5" s="9" t="str">
        <x:v>在途节点地图改版</x:v>
      </x:c>
      <x:c r="D5" s="9" t="str">
        <x:v>改版在途节点地图并补齐异常节点提示</x:v>
      </x:c>
      <x:c r="E5" s="9" t="str">
        <x:v>P2</x:v>
      </x:c>
      <x:c r="F5" s="9" t="n">
        <x:v>1</x:v>
      </x:c>
      <x:c r="G5" s="9" t="n">
        <x:v>3</x:v>
      </x:c>
      <x:c r="H5" s="9" t="str">
        <x:v>预估：提升运输异常识别效率</x:v>
      </x:c>
      <x:c r="I5" s="9" t="str">
        <x:v>陈悦</x:v>
      </x:c>
      <x:c r="J5" s="9" t="str">
        <x:v>进行中</x:v>
      </x:c>
      <x:c r="K5" s="13" t="n">
        <x:v>0.35</x:v>
      </x:c>
      <x:c r="L5" s="13" t="n">
        <x:v>0.4</x:v>
      </x:c>
      <x:c r="M5" s="9" t="str">
        <x:v>绿</x:v>
      </x:c>
      <x:c r="N5" s="9" t="str">
        <x:v>上周完成原型确认</x:v>
      </x:c>
      <x:c r="O5" s="11"/>
      <x:c r="P5" s="9" t="str">
        <x:v>SC-032</x:v>
      </x:c>
      <x:c r="Q5" s="11" t="n">
        <x:v>46251</x:v>
      </x:c>
      <x:c r="R5" s="11" t="n">
        <x:v>46332</x:v>
      </x:c>
      <x:c r="S5" s="9" t="str">
        <x:v>产品C</x:v>
      </x:c>
      <x:c r="T5" s="9" t="str">
        <x:v>前端组</x:v>
      </x:c>
      <x:c r="U5" s="9" t="str">
        <x:v>TMS</x:v>
      </x:c>
      <x:c r="V5" s="9" t="str">
        <x:v>actual</x:v>
      </x:c>
    </x:row>
  </x:sheetData>
  <x:conditionalFormatting sqref="J2:J5">
    <x:cfRule type="containsText" dxfId="0" priority="1" operator="containsText" text="有风险"/>
    <x:cfRule type="containsText" dxfId="1" priority="2" operator="containsText" text="需协同"/>
    <x:cfRule type="containsText" dxfId="2" priority="3" operator="containsText" text="已完成"/>
  </x:conditionalFormatting>
  <x:dataValidations count="2">
    <x:dataValidation type="list" sqref="J2:J500">
      <x:formula1>"未开始,进行中,暂停,已完成"</x:formula1>
    </x:dataValidation>
    <x:dataValidation type="list" sqref="M2:M500">
      <x:formula1>"红,黄,绿"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64664c019a4bc8"/>
  </x:tableParts>
</x:worksheet>
</file>

<file path=xl/worksheets/sheet2.xml><?xml version="1.0" encoding="utf-8"?>
<x:worksheet xmlns:x="http://schemas.openxmlformats.org/spreadsheetml/2006/main">
  <x:sheetPr>
    <x:tabColor rgb="FF0D7B75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3" hidden="0" customWidth="1"/>
    <x:col min="3" max="3" width="14" hidden="0" customWidth="1"/>
    <x:col min="4" max="4" width="15" hidden="0" customWidth="1"/>
    <x:col min="5" max="5" width="24" hidden="0" customWidth="1"/>
    <x:col min="6" max="6" width="28" hidden="0" customWidth="1"/>
    <x:col min="7" max="7" width="36" hidden="0" customWidth="1"/>
    <x:col min="8" max="8" width="30" hidden="0" customWidth="1"/>
    <x:col min="9" max="9" width="11" hidden="0" customWidth="1"/>
    <x:col min="10" max="10" width="9" hidden="0" customWidth="1"/>
    <x:col min="11" max="11" width="14" hidden="0" customWidth="1"/>
    <x:col min="12" max="12" width="14" hidden="0" customWidth="1"/>
    <x:col min="13" max="13" width="11" hidden="0" customWidth="1"/>
    <x:col min="14" max="14" width="15" hidden="0" customWidth="1"/>
    <x:col min="15" max="15" width="15" hidden="0" customWidth="1"/>
    <x:col min="16" max="16" width="11" hidden="0" customWidth="1"/>
    <x:col min="17" max="17" width="13" hidden="0" customWidth="1"/>
    <x:col min="18" max="18" width="36" hidden="0" customWidth="1"/>
    <x:col min="19" max="19" width="12" hidden="0" customWidth="1"/>
    <x:col min="20" max="20" width="11" hidden="0" customWidth="1"/>
    <x:col min="21" max="21" width="18" hidden="0" customWidth="1"/>
  </x:cols>
  <x:sheetData>
    <x:row r="1" ht="32" customHeight="1">
      <x:c r="A1" s="7" t="str">
        <x:v>事项ID</x:v>
      </x:c>
      <x:c r="B1" s="7" t="str">
        <x:v>事项类型</x:v>
      </x:c>
      <x:c r="C1" s="7" t="str">
        <x:v>KPI记录ID</x:v>
      </x:c>
      <x:c r="D1" s="7" t="str">
        <x:v>项目集</x:v>
      </x:c>
      <x:c r="E1" s="7" t="str">
        <x:v>项目名称</x:v>
      </x:c>
      <x:c r="F1" s="7" t="str">
        <x:v>任务名称</x:v>
      </x:c>
      <x:c r="G1" s="7" t="str">
        <x:v>任务内容</x:v>
      </x:c>
      <x:c r="H1" s="7" t="str">
        <x:v>业务价值点</x:v>
      </x:c>
      <x:c r="I1" s="7" t="str">
        <x:v>任务级别</x:v>
      </x:c>
      <x:c r="J1" s="7" t="str">
        <x:v>优先级</x:v>
      </x:c>
      <x:c r="K1" s="7" t="str">
        <x:v>计划开始时间</x:v>
      </x:c>
      <x:c r="L1" s="7" t="str">
        <x:v>计划完成时间</x:v>
      </x:c>
      <x:c r="M1" s="7" t="str">
        <x:v>责任人</x:v>
      </x:c>
      <x:c r="N1" s="7" t="str">
        <x:v>业务接口人</x:v>
      </x:c>
      <x:c r="O1" s="7" t="str">
        <x:v>IT接口人</x:v>
      </x:c>
      <x:c r="P1" s="7" t="str">
        <x:v>当前状态</x:v>
      </x:c>
      <x:c r="Q1" s="7" t="str">
        <x:v>当前完成比例</x:v>
      </x:c>
      <x:c r="R1" s="7" t="str">
        <x:v>最新进度说明</x:v>
      </x:c>
      <x:c r="S1" s="7" t="str">
        <x:v>数据来源</x:v>
      </x:c>
      <x:c r="T1" s="7" t="str">
        <x:v>是否有效</x:v>
      </x:c>
      <x:c r="U1" s="7" t="str">
        <x:v>最后同步时间</x:v>
      </x:c>
    </x:row>
    <x:row r="2" ht="42" customHeight="1">
      <x:c r="A2" s="8" t="str">
        <x:v>ITEM-001</x:v>
      </x:c>
      <x:c r="B2" s="8" t="str">
        <x:v>KPI项目</x:v>
      </x:c>
      <x:c r="C2" s="8" t="str">
        <x:v>KPI-001</x:v>
      </x:c>
      <x:c r="D2" s="8" t="str">
        <x:v>供应商协同</x:v>
      </x:c>
      <x:c r="E2" s="8" t="str">
        <x:v>供应商主数据治理</x:v>
      </x:c>
      <x:c r="F2" s="8" t="str">
        <x:v>主数据校验规则上线</x:v>
      </x:c>
      <x:c r="G2" s="8" t="str">
        <x:v>统一供应商主数据校验规则并完成存量数据治理</x:v>
      </x:c>
      <x:c r="H2" s="8" t="str">
        <x:v>降低重复供应商与错误付款风险</x:v>
      </x:c>
      <x:c r="I2" s="8" t="str">
        <x:v>部门级</x:v>
      </x:c>
      <x:c r="J2" s="8" t="str">
        <x:v>P0</x:v>
      </x:c>
      <x:c r="K2" s="10" t="n">
        <x:v>46209</x:v>
      </x:c>
      <x:c r="L2" s="10" t="n">
        <x:v>46290</x:v>
      </x:c>
      <x:c r="M2" s="8" t="str">
        <x:v>陈悦</x:v>
      </x:c>
      <x:c r="N2" s="8" t="str">
        <x:v>业务接口人A</x:v>
      </x:c>
      <x:c r="O2" s="8" t="str">
        <x:v>开发组一</x:v>
      </x:c>
      <x:c r="P2" s="8" t="str">
        <x:v>进行中</x:v>
      </x:c>
      <x:c r="Q2" s="12" t="n">
        <x:v>0.72</x:v>
      </x:c>
      <x:c r="R2" s="8" t="str">
        <x:v>校验规则已进入灰度验证</x:v>
      </x:c>
      <x:c r="S2" s="8" t="str">
        <x:v>KPI同步</x:v>
      </x:c>
      <x:c r="T2" s="8" t="str">
        <x:v>在途</x:v>
      </x:c>
      <x:c r="U2" s="14" t="n">
        <x:v>46276.10277777778</x:v>
      </x:c>
    </x:row>
    <x:row r="3" ht="42" customHeight="1">
      <x:c r="A3" s="8" t="str">
        <x:v>ITEM-002</x:v>
      </x:c>
      <x:c r="B3" s="8" t="str">
        <x:v>KPI项目</x:v>
      </x:c>
      <x:c r="C3" s="8" t="str">
        <x:v>KPI-002</x:v>
      </x:c>
      <x:c r="D3" s="8" t="str">
        <x:v>供应商协同</x:v>
      </x:c>
      <x:c r="E3" s="8" t="str">
        <x:v>供应商主数据治理</x:v>
      </x:c>
      <x:c r="F3" s="8" t="str">
        <x:v>主数据接口性能优化</x:v>
      </x:c>
      <x:c r="G3" s="8" t="str">
        <x:v>优化供应商主数据同步链路的吞吐与异常重试</x:v>
      </x:c>
      <x:c r="H3" s="8" t="str">
        <x:v>缩短供应商启用等待时间</x:v>
      </x:c>
      <x:c r="I3" s="8" t="str">
        <x:v>部门级</x:v>
      </x:c>
      <x:c r="J3" s="8" t="str">
        <x:v>P1</x:v>
      </x:c>
      <x:c r="K3" s="10" t="n">
        <x:v>46223</x:v>
      </x:c>
      <x:c r="L3" s="10" t="n">
        <x:v>46304</x:v>
      </x:c>
      <x:c r="M3" s="8" t="str">
        <x:v>周凯</x:v>
      </x:c>
      <x:c r="N3" s="8" t="str">
        <x:v>业务接口人A</x:v>
      </x:c>
      <x:c r="O3" s="8" t="str">
        <x:v>开发组二</x:v>
      </x:c>
      <x:c r="P3" s="8" t="str">
        <x:v>进行中</x:v>
      </x:c>
      <x:c r="Q3" s="12" t="n">
        <x:v>0.64</x:v>
      </x:c>
      <x:c r="R3" s="8" t="str">
        <x:v>压测通过目标吞吐量</x:v>
      </x:c>
      <x:c r="S3" s="8" t="str">
        <x:v>KPI同步</x:v>
      </x:c>
      <x:c r="T3" s="8" t="str">
        <x:v>在途</x:v>
      </x:c>
      <x:c r="U3" s="14" t="n">
        <x:v>46276.07361111111</x:v>
      </x:c>
    </x:row>
    <x:row r="4" ht="42" customHeight="1">
      <x:c r="A4" s="8" t="str">
        <x:v>ITEM-003</x:v>
      </x:c>
      <x:c r="B4" s="8" t="str">
        <x:v>KPI项目</x:v>
      </x:c>
      <x:c r="C4" s="8" t="str">
        <x:v>KPI-003</x:v>
      </x:c>
      <x:c r="D4" s="8" t="str">
        <x:v>采购计划</x:v>
      </x:c>
      <x:c r="E4" s="8" t="str">
        <x:v>采购计划智能化</x:v>
      </x:c>
      <x:c r="F4" s="8" t="str">
        <x:v>安全库存算法验证</x:v>
      </x:c>
      <x:c r="G4" s="8" t="str">
        <x:v>在两类物料上验证安全库存算法并形成上线建议</x:v>
      </x:c>
      <x:c r="H4" s="8" t="str">
        <x:v>降低缺货与积压波动</x:v>
      </x:c>
      <x:c r="I4" s="8" t="str">
        <x:v>公司级</x:v>
      </x:c>
      <x:c r="J4" s="8" t="str">
        <x:v>P0</x:v>
      </x:c>
      <x:c r="K4" s="10" t="n">
        <x:v>46188</x:v>
      </x:c>
      <x:c r="L4" s="10" t="n">
        <x:v>46276</x:v>
      </x:c>
      <x:c r="M4" s="8" t="str">
        <x:v>李然</x:v>
      </x:c>
      <x:c r="N4" s="8" t="str">
        <x:v>业务接口人B</x:v>
      </x:c>
      <x:c r="O4" s="8" t="str">
        <x:v>算法组</x:v>
      </x:c>
      <x:c r="P4" s="8" t="str">
        <x:v>已完成</x:v>
      </x:c>
      <x:c r="Q4" s="12" t="n">
        <x:v>1</x:v>
      </x:c>
      <x:c r="R4" s="8" t="str">
        <x:v>试点验收完成并通过上线评审</x:v>
      </x:c>
      <x:c r="S4" s="8" t="str">
        <x:v>KPI同步</x:v>
      </x:c>
      <x:c r="T4" s="8" t="str">
        <x:v>已关闭</x:v>
      </x:c>
      <x:c r="U4" s="14" t="n">
        <x:v>46276.13055555556</x:v>
      </x:c>
    </x:row>
    <x:row r="5" ht="42" customHeight="1">
      <x:c r="A5" s="8" t="str">
        <x:v>ITEM-004</x:v>
      </x:c>
      <x:c r="B5" s="8" t="str">
        <x:v>非KPI需求</x:v>
      </x:c>
      <x:c r="C5" s="8"/>
      <x:c r="D5" s="8" t="str">
        <x:v>关务协同</x:v>
      </x:c>
      <x:c r="E5" s="8" t="str">
        <x:v>关务数据临时支持</x:v>
      </x:c>
      <x:c r="F5" s="8" t="str">
        <x:v>进出口台账自动导出</x:v>
      </x:c>
      <x:c r="G5" s="8" t="str">
        <x:v>为关务月度核查增加一键导出清单</x:v>
      </x:c>
      <x:c r="H5" s="8" t="str">
        <x:v>减少人工拼接清单时间</x:v>
      </x:c>
      <x:c r="I5" s="8" t="str">
        <x:v>团队级</x:v>
      </x:c>
      <x:c r="J5" s="8" t="str">
        <x:v>P1</x:v>
      </x:c>
      <x:c r="K5" s="10" t="n">
        <x:v>46266</x:v>
      </x:c>
      <x:c r="L5" s="10" t="n">
        <x:v>46283</x:v>
      </x:c>
      <x:c r="M5" s="8" t="str">
        <x:v>陈悦</x:v>
      </x:c>
      <x:c r="N5" s="8" t="str">
        <x:v>关务接口人</x:v>
      </x:c>
      <x:c r="O5" s="8" t="str">
        <x:v>数据组</x:v>
      </x:c>
      <x:c r="P5" s="8" t="str">
        <x:v>进行中</x:v>
      </x:c>
      <x:c r="Q5" s="12" t="n">
        <x:v>0.55</x:v>
      </x:c>
      <x:c r="R5" s="8" t="str">
        <x:v>导出字段已与关务确认</x:v>
      </x:c>
      <x:c r="S5" s="8" t="str">
        <x:v>人工创建</x:v>
      </x:c>
      <x:c r="T5" s="8" t="str">
        <x:v>在途</x:v>
      </x:c>
      <x:c r="U5" s="14" t="n">
        <x:v>46276.10555555556</x:v>
      </x:c>
    </x:row>
    <x:row r="6" ht="42" customHeight="1">
      <x:c r="A6" s="8" t="str">
        <x:v>ITEM-005</x:v>
      </x:c>
      <x:c r="B6" s="8" t="str">
        <x:v>临时任务</x:v>
      </x:c>
      <x:c r="C6" s="8"/>
      <x:c r="D6" s="8" t="str">
        <x:v>仓储接口</x:v>
      </x:c>
      <x:c r="E6" s="8" t="str">
        <x:v>华东仓切换支持</x:v>
      </x:c>
      <x:c r="F6" s="8" t="str">
        <x:v>库存接口切换验证</x:v>
      </x:c>
      <x:c r="G6" s="8" t="str">
        <x:v>配合华东仓完成新库存接口切换与回退验证</x:v>
      </x:c>
      <x:c r="H6" s="8" t="str">
        <x:v>保障仓库切换期间库存数据连续</x:v>
      </x:c>
      <x:c r="I6" s="8" t="str">
        <x:v>团队级</x:v>
      </x:c>
      <x:c r="J6" s="8" t="str">
        <x:v>P0</x:v>
      </x:c>
      <x:c r="K6" s="10" t="n">
        <x:v>46272</x:v>
      </x:c>
      <x:c r="L6" s="10" t="n">
        <x:v>46281</x:v>
      </x:c>
      <x:c r="M6" s="8" t="str">
        <x:v>周凯</x:v>
      </x:c>
      <x:c r="N6" s="8" t="str">
        <x:v>仓储接口人</x:v>
      </x:c>
      <x:c r="O6" s="8" t="str">
        <x:v>集成组</x:v>
      </x:c>
      <x:c r="P6" s="8" t="str">
        <x:v>进行中</x:v>
      </x:c>
      <x:c r="Q6" s="12" t="n">
        <x:v>0.48</x:v>
      </x:c>
      <x:c r="R6" s="8" t="str">
        <x:v>完成正向链路验证，回退脚本待确认</x:v>
      </x:c>
      <x:c r="S6" s="8" t="str">
        <x:v>人工创建</x:v>
      </x:c>
      <x:c r="T6" s="8" t="str">
        <x:v>在途</x:v>
      </x:c>
      <x:c r="U6" s="14" t="n">
        <x:v>46276.138194444444</x:v>
      </x:c>
    </x:row>
    <x:row r="7" ht="42" customHeight="1">
      <x:c r="A7" s="8" t="str">
        <x:v>ITEM-006</x:v>
      </x:c>
      <x:c r="B7" s="8" t="str">
        <x:v>KPI项目</x:v>
      </x:c>
      <x:c r="C7" s="8" t="str">
        <x:v>KPI-004</x:v>
      </x:c>
      <x:c r="D7" s="8" t="str">
        <x:v>物流可视化</x:v>
      </x:c>
      <x:c r="E7" s="8" t="str">
        <x:v>运输节点可视化</x:v>
      </x:c>
      <x:c r="F7" s="8" t="str">
        <x:v>在途节点地图改版</x:v>
      </x:c>
      <x:c r="G7" s="8" t="str">
        <x:v>改版在途节点地图并补齐异常节点提示</x:v>
      </x:c>
      <x:c r="H7" s="8" t="str">
        <x:v>提升运输异常识别效率</x:v>
      </x:c>
      <x:c r="I7" s="8" t="str">
        <x:v>部门级</x:v>
      </x:c>
      <x:c r="J7" s="8" t="str">
        <x:v>P2</x:v>
      </x:c>
      <x:c r="K7" s="10" t="n">
        <x:v>46251</x:v>
      </x:c>
      <x:c r="L7" s="10" t="n">
        <x:v>46332</x:v>
      </x:c>
      <x:c r="M7" s="8" t="str">
        <x:v>陈悦</x:v>
      </x:c>
      <x:c r="N7" s="8" t="str">
        <x:v>物流接口人</x:v>
      </x:c>
      <x:c r="O7" s="8" t="str">
        <x:v>前端组</x:v>
      </x:c>
      <x:c r="P7" s="8" t="str">
        <x:v>进行中</x:v>
      </x:c>
      <x:c r="Q7" s="12" t="n">
        <x:v>0.35</x:v>
      </x:c>
      <x:c r="R7" s="8" t="str">
        <x:v>上周完成原型确认</x:v>
      </x:c>
      <x:c r="S7" s="8" t="str">
        <x:v>KPI同步</x:v>
      </x:c>
      <x:c r="T7" s="8" t="str">
        <x:v>在途</x:v>
      </x:c>
      <x:c r="U7" s="14" t="n">
        <x:v>46269.354166666664</x:v>
      </x:c>
    </x:row>
    <x:row r="8" ht="42" customHeight="1">
      <x:c r="A8" s="9" t="str">
        <x:v>ITEM-007</x:v>
      </x:c>
      <x:c r="B8" s="9" t="str">
        <x:v>非KPI需求</x:v>
      </x:c>
      <x:c r="C8" s="9"/>
      <x:c r="D8" s="9" t="str">
        <x:v>成本分析</x:v>
      </x:c>
      <x:c r="E8" s="9" t="str">
        <x:v>运输费率复盘</x:v>
      </x:c>
      <x:c r="F8" s="9" t="str">
        <x:v>临时费率对比看板</x:v>
      </x:c>
      <x:c r="G8" s="9" t="str">
        <x:v>支持财务临时复盘三条线路费率</x:v>
      </x:c>
      <x:c r="H8" s="9" t="str">
        <x:v>辅助线路议价</x:v>
      </x:c>
      <x:c r="I8" s="9" t="str">
        <x:v>团队级</x:v>
      </x:c>
      <x:c r="J8" s="9" t="str">
        <x:v>P2</x:v>
      </x:c>
      <x:c r="K8" s="11" t="n">
        <x:v>46258</x:v>
      </x:c>
      <x:c r="L8" s="11" t="n">
        <x:v>46269</x:v>
      </x:c>
      <x:c r="M8" s="9" t="str">
        <x:v>李然</x:v>
      </x:c>
      <x:c r="N8" s="9" t="str">
        <x:v>财务接口人</x:v>
      </x:c>
      <x:c r="O8" s="9" t="str">
        <x:v>BI组</x:v>
      </x:c>
      <x:c r="P8" s="9" t="str">
        <x:v>已完成</x:v>
      </x:c>
      <x:c r="Q8" s="13" t="n">
        <x:v>1</x:v>
      </x:c>
      <x:c r="R8" s="9" t="str">
        <x:v>上周已交付，不在本周汇报范围</x:v>
      </x:c>
      <x:c r="S8" s="9" t="str">
        <x:v>人工创建</x:v>
      </x:c>
      <x:c r="T8" s="9" t="str">
        <x:v>已关闭</x:v>
      </x:c>
      <x:c r="U8" s="15" t="n">
        <x:v>46269.26388888889</x:v>
      </x:c>
    </x:row>
  </x:sheetData>
  <x:conditionalFormatting sqref="P2:P8">
    <x:cfRule type="containsText" dxfId="3" priority="1" operator="containsText" text="有风险"/>
    <x:cfRule type="containsText" dxfId="4" priority="2" operator="containsText" text="需协同"/>
    <x:cfRule type="containsText" dxfId="5" priority="3" operator="containsText" text="已完成"/>
  </x:conditionalFormatting>
  <x:dataValidations count="3">
    <x:dataValidation type="list" sqref="B2:B500">
      <x:formula1>"KPI项目,非KPI需求,临时任务"</x:formula1>
    </x:dataValidation>
    <x:dataValidation type="list" sqref="P2:P500">
      <x:formula1>"未开始,进行中,暂停,已完成"</x:formula1>
    </x:dataValidation>
    <x:dataValidation type="list" sqref="T2:T500">
      <x:formula1>"在途,已关闭,已归档"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81e74127c649b1"/>
  </x:tableParts>
</x:worksheet>
</file>

<file path=xl/worksheets/sheet3.xml><?xml version="1.0" encoding="utf-8"?>
<x:worksheet xmlns:x="http://schemas.openxmlformats.org/spreadsheetml/2006/main">
  <x:sheetPr>
    <x:tabColor rgb="FF4C7E99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0" hidden="0" customWidth="1"/>
    <x:col min="2" max="2" width="13" hidden="0" customWidth="1"/>
    <x:col min="3" max="3" width="13" hidden="0" customWidth="1"/>
    <x:col min="4" max="4" width="14" hidden="0" customWidth="1"/>
    <x:col min="5" max="5" width="12" hidden="0" customWidth="1"/>
    <x:col min="6" max="6" width="44" hidden="0" customWidth="1"/>
    <x:col min="7" max="7" width="13" hidden="0" customWidth="1"/>
    <x:col min="8" max="8" width="13" hidden="0" customWidth="1"/>
    <x:col min="9" max="9" width="11" hidden="0" customWidth="1"/>
    <x:col min="10" max="10" width="11" hidden="0" customWidth="1"/>
    <x:col min="11" max="11" width="40" hidden="0" customWidth="1"/>
    <x:col min="12" max="12" width="44" hidden="0" customWidth="1"/>
    <x:col min="13" max="13" width="40" hidden="0" customWidth="1"/>
    <x:col min="14" max="14" width="16" hidden="0" customWidth="1"/>
    <x:col min="15" max="15" width="11" hidden="0" customWidth="1"/>
    <x:col min="16" max="16" width="11" hidden="0" customWidth="1"/>
    <x:col min="17" max="17" width="18" hidden="0" customWidth="1"/>
    <x:col min="18" max="18" width="12" hidden="0" customWidth="1"/>
    <x:col min="19" max="19" width="14" hidden="0" customWidth="1"/>
    <x:col min="20" max="20" width="18" hidden="0" customWidth="1"/>
    <x:col min="21" max="21" width="28" hidden="0" customWidth="1"/>
    <x:col min="22" max="22" width="15" hidden="0" customWidth="1"/>
    <x:col min="23" max="23" width="18" hidden="0" customWidth="1"/>
    <x:col min="24" max="24" width="18" hidden="0" customWidth="1"/>
    <x:col min="25" max="25" width="38" hidden="0" customWidth="1"/>
  </x:cols>
  <x:sheetData>
    <x:row r="1" ht="32" customHeight="1">
      <x:c r="A1" s="7" t="str">
        <x:v>周报记录ID</x:v>
      </x:c>
      <x:c r="B1" s="7" t="str">
        <x:v>记录类型</x:v>
      </x:c>
      <x:c r="C1" s="7" t="str">
        <x:v>周报周期</x:v>
      </x:c>
      <x:c r="D1" s="7" t="str">
        <x:v>关联事项</x:v>
      </x:c>
      <x:c r="E1" s="7" t="str">
        <x:v>更新类型</x:v>
      </x:c>
      <x:c r="F1" s="7" t="str">
        <x:v>本周主要进展</x:v>
      </x:c>
      <x:c r="G1" s="7" t="str">
        <x:v>当前完成比例</x:v>
      </x:c>
      <x:c r="H1" s="7" t="str">
        <x:v>当周计划比例</x:v>
      </x:c>
      <x:c r="I1" s="7" t="str">
        <x:v>进度偏差</x:v>
      </x:c>
      <x:c r="J1" s="7" t="str">
        <x:v>本周状态</x:v>
      </x:c>
      <x:c r="K1" s="7" t="str">
        <x:v>存在问题</x:v>
      </x:c>
      <x:c r="L1" s="7" t="str">
        <x:v>需要帮助</x:v>
      </x:c>
      <x:c r="M1" s="7" t="str">
        <x:v>下周计划</x:v>
      </x:c>
      <x:c r="N1" s="7" t="str">
        <x:v>下周目标完成比例</x:v>
      </x:c>
      <x:c r="O1" s="7" t="str">
        <x:v>责任人</x:v>
      </x:c>
      <x:c r="P1" s="7" t="str">
        <x:v>填报人</x:v>
      </x:c>
      <x:c r="Q1" s="7" t="str">
        <x:v>更新时间</x:v>
      </x:c>
      <x:c r="R1" s="7" t="str">
        <x:v>锁定状态</x:v>
      </x:c>
      <x:c r="S1" s="7" t="str">
        <x:v>KPI同步状态</x:v>
      </x:c>
      <x:c r="T1" s="7" t="str">
        <x:v>KPI同步时间</x:v>
      </x:c>
      <x:c r="U1" s="7" t="str">
        <x:v>KPI同步错误</x:v>
      </x:c>
      <x:c r="V1" s="7" t="str">
        <x:v>AI摘要状态</x:v>
      </x:c>
      <x:c r="W1" s="7" t="str">
        <x:v>AI生成时间</x:v>
      </x:c>
      <x:c r="X1" s="7" t="str">
        <x:v>AI模型</x:v>
      </x:c>
      <x:c r="Y1" s="7" t="str">
        <x:v>AI来源记录ID</x:v>
      </x:c>
    </x:row>
    <x:row r="2" ht="42" customHeight="1">
      <x:c r="A2" s="8" t="str">
        <x:v>WR-2026-W37-001</x:v>
      </x:c>
      <x:c r="B2" s="8" t="str">
        <x:v>任务进展</x:v>
      </x:c>
      <x:c r="C2" s="8" t="str">
        <x:v>2026-W37</x:v>
      </x:c>
      <x:c r="D2" s="8" t="str">
        <x:v>ITEM-001</x:v>
      </x:c>
      <x:c r="E2" s="8" t="str">
        <x:v>里程碑</x:v>
      </x:c>
      <x:c r="F2" s="8" t="str">
        <x:v>完成首批2.4万条供应商数据校验，12项核心规则进入灰度验证。</x:v>
      </x:c>
      <x:c r="G2" s="12" t="n">
        <x:v>0.72</x:v>
      </x:c>
      <x:c r="H2" s="12" t="n">
        <x:v>0.75</x:v>
      </x:c>
      <x:c r="I2" s="12" t="n">
        <x:f>IF(B2="任务进展",G2-H2,"")</x:f>
        <x:v>-0.030000000000000027</x:v>
      </x:c>
      <x:c r="J2" s="8" t="str">
        <x:v>有风险</x:v>
      </x:c>
      <x:c r="K2" s="8" t="str">
        <x:v>历史税号缺失导致部分供应商无法自动合并，可能影响全量切换时间。</x:v>
      </x:c>
      <x:c r="L2" s="8" t="str">
        <x:v>需要采购运营组在9月15日前确认126条疑似重复供应商的保留口径。</x:v>
      </x:c>
      <x:c r="M2" s="8" t="str">
        <x:v>完成疑似重复数据确认，并推进全量规则启用评审。</x:v>
      </x:c>
      <x:c r="N2" s="12" t="n">
        <x:v>0.82</x:v>
      </x:c>
      <x:c r="O2" s="8" t="str">
        <x:v>陈悦</x:v>
      </x:c>
      <x:c r="P2" s="8" t="str">
        <x:v>陈悦</x:v>
      </x:c>
      <x:c r="Q2" s="14" t="n">
        <x:v>46276.10277777778</x:v>
      </x:c>
      <x:c r="R2" s="8" t="str">
        <x:v>编辑中</x:v>
      </x:c>
      <x:c r="S2" s="8" t="str">
        <x:v>同步成功</x:v>
      </x:c>
      <x:c r="T2" s="14" t="n">
        <x:v>46276.103472222225</x:v>
      </x:c>
      <x:c r="U2" s="8" t="str"/>
      <x:c r="V2" s="8" t="str">
        <x:v>不适用</x:v>
      </x:c>
      <x:c r="W2" s="14"/>
      <x:c r="X2" s="8"/>
      <x:c r="Y2" s="8"/>
    </x:row>
    <x:row r="3" ht="42" customHeight="1">
      <x:c r="A3" s="8" t="str">
        <x:v>WR-2026-W37-002</x:v>
      </x:c>
      <x:c r="B3" s="8" t="str">
        <x:v>任务进展</x:v>
      </x:c>
      <x:c r="C3" s="8" t="str">
        <x:v>2026-W37</x:v>
      </x:c>
      <x:c r="D3" s="8" t="str">
        <x:v>ITEM-004</x:v>
      </x:c>
      <x:c r="E3" s="8" t="str">
        <x:v>常规进展</x:v>
      </x:c>
      <x:c r="F3" s="8" t="str">
        <x:v>完成关务导出字段确认和第一版查询脚本，已交付业务试用。</x:v>
      </x:c>
      <x:c r="G3" s="12" t="n">
        <x:v>0.55</x:v>
      </x:c>
      <x:c r="H3" s="12" t="n">
        <x:v>0.5</x:v>
      </x:c>
      <x:c r="I3" s="12" t="n">
        <x:f>IF(B3="任务进展",G3-H3,"")</x:f>
        <x:v>0.050000000000000044</x:v>
      </x:c>
      <x:c r="J3" s="8" t="str">
        <x:v>正常</x:v>
      </x:c>
      <x:c r="K3" s="8" t="str"/>
      <x:c r="L3" s="8" t="str"/>
      <x:c r="M3" s="8" t="str">
        <x:v>根据业务试用反馈补充筛选条件并完成权限核对。</x:v>
      </x:c>
      <x:c r="N3" s="12" t="n">
        <x:v>0.8</x:v>
      </x:c>
      <x:c r="O3" s="8" t="str">
        <x:v>陈悦</x:v>
      </x:c>
      <x:c r="P3" s="8" t="str">
        <x:v>陈悦</x:v>
      </x:c>
      <x:c r="Q3" s="14" t="n">
        <x:v>46276.10555555556</x:v>
      </x:c>
      <x:c r="R3" s="8" t="str">
        <x:v>编辑中</x:v>
      </x:c>
      <x:c r="S3" s="8" t="str">
        <x:v>不适用</x:v>
      </x:c>
      <x:c r="T3" s="14"/>
      <x:c r="U3" s="8" t="str"/>
      <x:c r="V3" s="8" t="str">
        <x:v>不适用</x:v>
      </x:c>
      <x:c r="W3" s="14"/>
      <x:c r="X3" s="8"/>
      <x:c r="Y3" s="8"/>
    </x:row>
    <x:row r="4" ht="42" customHeight="1">
      <x:c r="A4" s="8" t="str">
        <x:v>WR-2026-W37-003</x:v>
      </x:c>
      <x:c r="B4" s="8" t="str">
        <x:v>任务进展</x:v>
      </x:c>
      <x:c r="C4" s="8" t="str">
        <x:v>2026-W37</x:v>
      </x:c>
      <x:c r="D4" s="8" t="str">
        <x:v>ITEM-002</x:v>
      </x:c>
      <x:c r="E4" s="8" t="str">
        <x:v>里程碑</x:v>
      </x:c>
      <x:c r="F4" s="8" t="str">
        <x:v>完成500并发压测，平均响应时间由1.8秒降至0.7秒，达到阶段目标。</x:v>
      </x:c>
      <x:c r="G4" s="12" t="n">
        <x:v>0.64</x:v>
      </x:c>
      <x:c r="H4" s="12" t="n">
        <x:v>0.65</x:v>
      </x:c>
      <x:c r="I4" s="12" t="n">
        <x:f>IF(B4="任务进展",G4-H4,"")</x:f>
        <x:v>-0.010000000000000009</x:v>
      </x:c>
      <x:c r="J4" s="8" t="str">
        <x:v>正常</x:v>
      </x:c>
      <x:c r="K4" s="8" t="str"/>
      <x:c r="L4" s="8" t="str"/>
      <x:c r="M4" s="8" t="str">
        <x:v>补齐异常重试监控并进入预生产环境验证。</x:v>
      </x:c>
      <x:c r="N4" s="12" t="n">
        <x:v>0.72</x:v>
      </x:c>
      <x:c r="O4" s="8" t="str">
        <x:v>周凯</x:v>
      </x:c>
      <x:c r="P4" s="8" t="str">
        <x:v>周凯</x:v>
      </x:c>
      <x:c r="Q4" s="14" t="n">
        <x:v>46276.07361111111</x:v>
      </x:c>
      <x:c r="R4" s="8" t="str">
        <x:v>编辑中</x:v>
      </x:c>
      <x:c r="S4" s="8" t="str">
        <x:v>同步成功</x:v>
      </x:c>
      <x:c r="T4" s="14" t="n">
        <x:v>46276.07430555556</x:v>
      </x:c>
      <x:c r="U4" s="8" t="str"/>
      <x:c r="V4" s="8" t="str">
        <x:v>不适用</x:v>
      </x:c>
      <x:c r="W4" s="14"/>
      <x:c r="X4" s="8"/>
      <x:c r="Y4" s="8"/>
    </x:row>
    <x:row r="5" ht="42" customHeight="1">
      <x:c r="A5" s="8" t="str">
        <x:v>WR-2026-W37-004</x:v>
      </x:c>
      <x:c r="B5" s="8" t="str">
        <x:v>任务进展</x:v>
      </x:c>
      <x:c r="C5" s="8" t="str">
        <x:v>2026-W37</x:v>
      </x:c>
      <x:c r="D5" s="8" t="str">
        <x:v>ITEM-005</x:v>
      </x:c>
      <x:c r="E5" s="8" t="str">
        <x:v>风险</x:v>
      </x:c>
      <x:c r="F5" s="8" t="str">
        <x:v>完成库存接口正向链路验证，三类库存单据已核对一致。</x:v>
      </x:c>
      <x:c r="G5" s="12" t="n">
        <x:v>0.48</x:v>
      </x:c>
      <x:c r="H5" s="12" t="n">
        <x:v>0.6</x:v>
      </x:c>
      <x:c r="I5" s="12" t="n">
        <x:f>IF(B5="任务进展",G5-H5,"")</x:f>
        <x:v>-0.12</x:v>
      </x:c>
      <x:c r="J5" s="8" t="str">
        <x:v>需协同</x:v>
      </x:c>
      <x:c r="K5" s="8" t="str">
        <x:v>仓库侧回退脚本尚未完成演练，原定切换窗口存在风险。</x:v>
      </x:c>
      <x:c r="L5" s="8" t="str">
        <x:v>需要集成组和仓储团队在9月14日前完成回退演练并确认切换窗口。</x:v>
      </x:c>
      <x:c r="M5" s="8" t="str">
        <x:v>完成回退演练、差异数据复核和正式切换评审。</x:v>
      </x:c>
      <x:c r="N5" s="12" t="n">
        <x:v>0.75</x:v>
      </x:c>
      <x:c r="O5" s="8" t="str">
        <x:v>周凯</x:v>
      </x:c>
      <x:c r="P5" s="8" t="str">
        <x:v>周凯</x:v>
      </x:c>
      <x:c r="Q5" s="14" t="n">
        <x:v>46276.138194444444</x:v>
      </x:c>
      <x:c r="R5" s="8" t="str">
        <x:v>编辑中</x:v>
      </x:c>
      <x:c r="S5" s="8" t="str">
        <x:v>不适用</x:v>
      </x:c>
      <x:c r="T5" s="14"/>
      <x:c r="U5" s="8" t="str"/>
      <x:c r="V5" s="8" t="str">
        <x:v>不适用</x:v>
      </x:c>
      <x:c r="W5" s="14"/>
      <x:c r="X5" s="8"/>
      <x:c r="Y5" s="8"/>
    </x:row>
    <x:row r="6" ht="42" customHeight="1">
      <x:c r="A6" s="8" t="str">
        <x:v>WR-2026-W37-005</x:v>
      </x:c>
      <x:c r="B6" s="8" t="str">
        <x:v>任务进展</x:v>
      </x:c>
      <x:c r="C6" s="8" t="str">
        <x:v>2026-W37</x:v>
      </x:c>
      <x:c r="D6" s="8" t="str">
        <x:v>ITEM-003</x:v>
      </x:c>
      <x:c r="E6" s="8" t="str">
        <x:v>验收</x:v>
      </x:c>
      <x:c r="F6" s="8" t="str">
        <x:v>完成两类物料安全库存算法试点验收，评审同意进入上线准备。</x:v>
      </x:c>
      <x:c r="G6" s="12" t="n">
        <x:v>1</x:v>
      </x:c>
      <x:c r="H6" s="12" t="n">
        <x:v>1</x:v>
      </x:c>
      <x:c r="I6" s="12" t="n">
        <x:f>IF(B6="任务进展",G6-H6,"")</x:f>
        <x:v>0</x:v>
      </x:c>
      <x:c r="J6" s="8" t="str">
        <x:v>已完成</x:v>
      </x:c>
      <x:c r="K6" s="8" t="str"/>
      <x:c r="L6" s="8" t="str"/>
      <x:c r="M6" s="8" t="str">
        <x:v>沉淀试点参数说明，并移交运营团队跟踪上线后指标。</x:v>
      </x:c>
      <x:c r="N6" s="12" t="n">
        <x:v>1</x:v>
      </x:c>
      <x:c r="O6" s="8" t="str">
        <x:v>李然</x:v>
      </x:c>
      <x:c r="P6" s="8" t="str">
        <x:v>李然</x:v>
      </x:c>
      <x:c r="Q6" s="14" t="n">
        <x:v>46276.13055555556</x:v>
      </x:c>
      <x:c r="R6" s="8" t="str">
        <x:v>编辑中</x:v>
      </x:c>
      <x:c r="S6" s="8" t="str">
        <x:v>同步成功</x:v>
      </x:c>
      <x:c r="T6" s="14" t="n">
        <x:v>46276.13125</x:v>
      </x:c>
      <x:c r="U6" s="8" t="str"/>
      <x:c r="V6" s="8" t="str">
        <x:v>不适用</x:v>
      </x:c>
      <x:c r="W6" s="14"/>
      <x:c r="X6" s="8"/>
      <x:c r="Y6" s="8"/>
    </x:row>
    <x:row r="7" ht="42" customHeight="1">
      <x:c r="A7" s="8" t="str">
        <x:v>SUM-2026-W37</x:v>
      </x:c>
      <x:c r="B7" s="8" t="str">
        <x:v>团队摘要</x:v>
      </x:c>
      <x:c r="C7" s="8" t="str">
        <x:v>2026-W37</x:v>
      </x:c>
      <x:c r="D7" s="8"/>
      <x:c r="E7" s="8"/>
      <x:c r="F7" s="8" t="str">
        <x:v>供应商接口压测达标；安全库存算法完成试点验收。</x:v>
      </x:c>
      <x:c r="G7" s="12"/>
      <x:c r="H7" s="12"/>
      <x:c r="I7" s="12" t="str">
        <x:f>IF(B7="任务进展",G7-H7,"")</x:f>
      </x:c>
      <x:c r="J7" s="8"/>
      <x:c r="K7" s="8" t="str">
        <x:v>供应商重复数据口径待确认；华东仓回退脚本尚未完成演练。</x:v>
      </x:c>
      <x:c r="L7" s="8" t="str">
        <x:v>采购运营组确认重复供应商处理口径；集成组与仓储团队完成回退演练。</x:v>
      </x:c>
      <x:c r="M7" s="8" t="str">
        <x:v>推进主数据全量规则评审；完成库存接口切换准备；沉淀算法试点参数。</x:v>
      </x:c>
      <x:c r="N7" s="12"/>
      <x:c r="O7" s="8"/>
      <x:c r="P7" s="8"/>
      <x:c r="Q7" s="14" t="n">
        <x:v>46276.145833333336</x:v>
      </x:c>
      <x:c r="R7" s="8"/>
      <x:c r="S7" s="8"/>
      <x:c r="T7" s="14"/>
      <x:c r="U7" s="8"/>
      <x:c r="V7" s="8" t="str">
        <x:v>草稿</x:v>
      </x:c>
      <x:c r="W7" s="14" t="n">
        <x:v>46276.146527777775</x:v>
      </x:c>
      <x:c r="X7" s="8" t="str">
        <x:v>mock-summary-v1</x:v>
      </x:c>
      <x:c r="Y7" s="8" t="str">
        <x:v>WR-2026-W37-001,WR-2026-W37-003,WR-2026-W37-004,WR-2026-W37-005</x:v>
      </x:c>
    </x:row>
    <x:row r="8" ht="42" customHeight="1">
      <x:c r="A8" s="8" t="str">
        <x:v>WR-2026-W36-001</x:v>
      </x:c>
      <x:c r="B8" s="8" t="str">
        <x:v>任务进展</x:v>
      </x:c>
      <x:c r="C8" s="8" t="str">
        <x:v>2026-W36</x:v>
      </x:c>
      <x:c r="D8" s="8" t="str">
        <x:v>ITEM-001</x:v>
      </x:c>
      <x:c r="E8" s="8" t="str">
        <x:v>常规进展</x:v>
      </x:c>
      <x:c r="F8" s="8" t="str">
        <x:v>完成校验规则评审和样本数据准备。</x:v>
      </x:c>
      <x:c r="G8" s="12" t="n">
        <x:v>0.6</x:v>
      </x:c>
      <x:c r="H8" s="12" t="n">
        <x:v>0.62</x:v>
      </x:c>
      <x:c r="I8" s="12" t="n">
        <x:f>IF(B8="任务进展",G8-H8,"")</x:f>
        <x:v>-0.020000000000000018</x:v>
      </x:c>
      <x:c r="J8" s="8" t="str">
        <x:v>正常</x:v>
      </x:c>
      <x:c r="K8" s="8" t="str"/>
      <x:c r="L8" s="8" t="str"/>
      <x:c r="M8" s="8" t="str">
        <x:v>启动存量供应商数据灰度校验。</x:v>
      </x:c>
      <x:c r="N8" s="12" t="n">
        <x:v>0.7</x:v>
      </x:c>
      <x:c r="O8" s="8" t="str">
        <x:v>陈悦</x:v>
      </x:c>
      <x:c r="P8" s="8" t="str">
        <x:v>陈悦</x:v>
      </x:c>
      <x:c r="Q8" s="14" t="n">
        <x:v>46269.34027777778</x:v>
      </x:c>
      <x:c r="R8" s="8" t="str">
        <x:v>逻辑锁定</x:v>
      </x:c>
      <x:c r="S8" s="8" t="str">
        <x:v>同步成功</x:v>
      </x:c>
      <x:c r="T8" s="14" t="n">
        <x:v>46269.34097222222</x:v>
      </x:c>
      <x:c r="U8" s="8" t="str"/>
      <x:c r="V8" s="8" t="str">
        <x:v>不适用</x:v>
      </x:c>
      <x:c r="W8" s="14"/>
      <x:c r="X8" s="8"/>
      <x:c r="Y8" s="8"/>
    </x:row>
    <x:row r="9" ht="42" customHeight="1">
      <x:c r="A9" s="8" t="str">
        <x:v>WR-2026-W36-002</x:v>
      </x:c>
      <x:c r="B9" s="8" t="str">
        <x:v>任务进展</x:v>
      </x:c>
      <x:c r="C9" s="8" t="str">
        <x:v>2026-W36</x:v>
      </x:c>
      <x:c r="D9" s="8" t="str">
        <x:v>ITEM-002</x:v>
      </x:c>
      <x:c r="E9" s="8" t="str">
        <x:v>常规进展</x:v>
      </x:c>
      <x:c r="F9" s="8" t="str">
        <x:v>完成接口瓶颈定位和缓存策略调整。</x:v>
      </x:c>
      <x:c r="G9" s="12" t="n">
        <x:v>0.5</x:v>
      </x:c>
      <x:c r="H9" s="12" t="n">
        <x:v>0.52</x:v>
      </x:c>
      <x:c r="I9" s="12" t="n">
        <x:f>IF(B9="任务进展",G9-H9,"")</x:f>
        <x:v>-0.020000000000000018</x:v>
      </x:c>
      <x:c r="J9" s="8" t="str">
        <x:v>正常</x:v>
      </x:c>
      <x:c r="K9" s="8" t="str"/>
      <x:c r="L9" s="8" t="str"/>
      <x:c r="M9" s="8" t="str">
        <x:v>完成并发压测并核对重试逻辑。</x:v>
      </x:c>
      <x:c r="N9" s="12" t="n">
        <x:v>0.63</x:v>
      </x:c>
      <x:c r="O9" s="8" t="str">
        <x:v>周凯</x:v>
      </x:c>
      <x:c r="P9" s="8" t="str">
        <x:v>周凯</x:v>
      </x:c>
      <x:c r="Q9" s="14" t="n">
        <x:v>46269.313888888886</x:v>
      </x:c>
      <x:c r="R9" s="8" t="str">
        <x:v>逻辑锁定</x:v>
      </x:c>
      <x:c r="S9" s="8" t="str">
        <x:v>同步成功</x:v>
      </x:c>
      <x:c r="T9" s="14" t="n">
        <x:v>46269.31458333333</x:v>
      </x:c>
      <x:c r="U9" s="8" t="str"/>
      <x:c r="V9" s="8" t="str">
        <x:v>不适用</x:v>
      </x:c>
      <x:c r="W9" s="14"/>
      <x:c r="X9" s="8"/>
      <x:c r="Y9" s="8"/>
    </x:row>
    <x:row r="10" ht="42" customHeight="1">
      <x:c r="A10" s="8" t="str">
        <x:v>WR-2026-W36-003</x:v>
      </x:c>
      <x:c r="B10" s="8" t="str">
        <x:v>任务进展</x:v>
      </x:c>
      <x:c r="C10" s="8" t="str">
        <x:v>2026-W36</x:v>
      </x:c>
      <x:c r="D10" s="8" t="str">
        <x:v>ITEM-006</x:v>
      </x:c>
      <x:c r="E10" s="8" t="str">
        <x:v>里程碑</x:v>
      </x:c>
      <x:c r="F10" s="8" t="str">
        <x:v>完成在途节点地图原型评审。</x:v>
      </x:c>
      <x:c r="G10" s="12" t="n">
        <x:v>0.35</x:v>
      </x:c>
      <x:c r="H10" s="12" t="n">
        <x:v>0.35</x:v>
      </x:c>
      <x:c r="I10" s="12" t="n">
        <x:f>IF(B10="任务进展",G10-H10,"")</x:f>
        <x:v>0</x:v>
      </x:c>
      <x:c r="J10" s="8" t="str">
        <x:v>正常</x:v>
      </x:c>
      <x:c r="K10" s="8" t="str"/>
      <x:c r="L10" s="8" t="str"/>
      <x:c r="M10" s="8" t="str">
        <x:v>进入前端开发并补充异常节点交互。</x:v>
      </x:c>
      <x:c r="N10" s="12" t="n">
        <x:v>0.45</x:v>
      </x:c>
      <x:c r="O10" s="8" t="str">
        <x:v>陈悦</x:v>
      </x:c>
      <x:c r="P10" s="8" t="str">
        <x:v>陈悦</x:v>
      </x:c>
      <x:c r="Q10" s="14" t="n">
        <x:v>46269.354166666664</x:v>
      </x:c>
      <x:c r="R10" s="8" t="str">
        <x:v>逻辑锁定</x:v>
      </x:c>
      <x:c r="S10" s="8" t="str">
        <x:v>同步成功</x:v>
      </x:c>
      <x:c r="T10" s="14" t="n">
        <x:v>46269.35486111111</x:v>
      </x:c>
      <x:c r="U10" s="8" t="str"/>
      <x:c r="V10" s="8" t="str">
        <x:v>不适用</x:v>
      </x:c>
      <x:c r="W10" s="14"/>
      <x:c r="X10" s="8"/>
      <x:c r="Y10" s="8"/>
    </x:row>
    <x:row r="11" ht="42" customHeight="1">
      <x:c r="A11" s="8" t="str">
        <x:v>WR-2026-W36-004</x:v>
      </x:c>
      <x:c r="B11" s="8" t="str">
        <x:v>任务进展</x:v>
      </x:c>
      <x:c r="C11" s="8" t="str">
        <x:v>2026-W36</x:v>
      </x:c>
      <x:c r="D11" s="8" t="str">
        <x:v>ITEM-007</x:v>
      </x:c>
      <x:c r="E11" s="8" t="str">
        <x:v>验收</x:v>
      </x:c>
      <x:c r="F11" s="8" t="str">
        <x:v>完成三条线路费率对比看板并交付财务。</x:v>
      </x:c>
      <x:c r="G11" s="12" t="n">
        <x:v>1</x:v>
      </x:c>
      <x:c r="H11" s="12" t="n">
        <x:v>1</x:v>
      </x:c>
      <x:c r="I11" s="12" t="n">
        <x:f>IF(B11="任务进展",G11-H11,"")</x:f>
        <x:v>0</x:v>
      </x:c>
      <x:c r="J11" s="8" t="str">
        <x:v>已完成</x:v>
      </x:c>
      <x:c r="K11" s="8" t="str"/>
      <x:c r="L11" s="8" t="str"/>
      <x:c r="M11" s="8" t="str">
        <x:v>收集一次使用反馈后关闭事项。</x:v>
      </x:c>
      <x:c r="N11" s="12" t="n">
        <x:v>1</x:v>
      </x:c>
      <x:c r="O11" s="8" t="str">
        <x:v>李然</x:v>
      </x:c>
      <x:c r="P11" s="8" t="str">
        <x:v>李然</x:v>
      </x:c>
      <x:c r="Q11" s="14" t="n">
        <x:v>46269.26388888889</x:v>
      </x:c>
      <x:c r="R11" s="8" t="str">
        <x:v>逻辑锁定</x:v>
      </x:c>
      <x:c r="S11" s="8" t="str">
        <x:v>不适用</x:v>
      </x:c>
      <x:c r="T11" s="14"/>
      <x:c r="U11" s="8" t="str"/>
      <x:c r="V11" s="8" t="str">
        <x:v>不适用</x:v>
      </x:c>
      <x:c r="W11" s="14"/>
      <x:c r="X11" s="8"/>
      <x:c r="Y11" s="8"/>
    </x:row>
    <x:row r="12" ht="42" customHeight="1">
      <x:c r="A12" s="9" t="str">
        <x:v>SUM-2026-W36</x:v>
      </x:c>
      <x:c r="B12" s="9" t="str">
        <x:v>团队摘要</x:v>
      </x:c>
      <x:c r="C12" s="9" t="str">
        <x:v>2026-W36</x:v>
      </x:c>
      <x:c r="D12" s="9"/>
      <x:c r="E12" s="9"/>
      <x:c r="F12" s="9" t="str">
        <x:v>主数据规则完成评审；在途地图原型通过；费率看板完成交付。</x:v>
      </x:c>
      <x:c r="G12" s="13"/>
      <x:c r="H12" s="13"/>
      <x:c r="I12" s="13" t="str">
        <x:f>IF(B12="任务进展",G12-H12,"")</x:f>
      </x:c>
      <x:c r="J12" s="9"/>
      <x:c r="K12" s="9" t="str">
        <x:v>无重大风险。</x:v>
      </x:c>
      <x:c r="L12" s="9" t="str">
        <x:v>无。</x:v>
      </x:c>
      <x:c r="M12" s="9" t="str">
        <x:v>启动主数据灰度校验和接口压测。</x:v>
      </x:c>
      <x:c r="N12" s="13"/>
      <x:c r="O12" s="9"/>
      <x:c r="P12" s="9"/>
      <x:c r="Q12" s="15" t="n">
        <x:v>46269.375</x:v>
      </x:c>
      <x:c r="R12" s="9"/>
      <x:c r="S12" s="9"/>
      <x:c r="T12" s="15"/>
      <x:c r="U12" s="9"/>
      <x:c r="V12" s="9" t="str">
        <x:v>最终版</x:v>
      </x:c>
      <x:c r="W12" s="15" t="n">
        <x:v>46269.376388888886</x:v>
      </x:c>
      <x:c r="X12" s="9" t="str">
        <x:v>mock-summary-v1</x:v>
      </x:c>
      <x:c r="Y12" s="9" t="str">
        <x:v>WR-2026-W36-001,WR-2026-W36-002,WR-2026-W36-003,WR-2026-W36-004</x:v>
      </x:c>
    </x:row>
  </x:sheetData>
  <x:conditionalFormatting sqref="J2:J12">
    <x:cfRule type="containsText" dxfId="6" priority="1" operator="containsText" text="有风险"/>
    <x:cfRule type="containsText" dxfId="7" priority="2" operator="containsText" text="需协同"/>
    <x:cfRule type="containsText" dxfId="8" priority="3" operator="containsText" text="已完成"/>
  </x:conditionalFormatting>
  <x:dataValidations count="6">
    <x:dataValidation type="list" sqref="B2:B500">
      <x:formula1>"任务进展,团队摘要"</x:formula1>
    </x:dataValidation>
    <x:dataValidation type="list" sqref="E2:E500">
      <x:formula1>"常规进展,里程碑,风险,延期,上线,验收"</x:formula1>
    </x:dataValidation>
    <x:dataValidation type="list" sqref="J2:J500">
      <x:formula1>"未开始,正常,有风险,需协同,暂停,已完成"</x:formula1>
    </x:dataValidation>
    <x:dataValidation type="list" sqref="R2:R500">
      <x:formula1>"编辑中,逻辑锁定,逾期修改"</x:formula1>
    </x:dataValidation>
    <x:dataValidation type="list" sqref="S2:S500">
      <x:formula1>"不适用,待同步,同步成功,同步失败"</x:formula1>
    </x:dataValidation>
    <x:dataValidation type="list" sqref="V2:V500">
      <x:formula1>"不适用,生成中,草稿,最终版,生成失败,可能过期"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08c609ffee4561"/>
  </x:tableParts>
</x:worksheet>
</file>